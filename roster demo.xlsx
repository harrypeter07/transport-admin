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<sst xmlns="http://schemas.openxmlformats.org/spreadsheetml/2006/main" count="496" uniqueCount="201">
  <si>
    <t>E mail ID</t>
  </si>
  <si>
    <t>Address</t>
  </si>
  <si>
    <t>Shift Time</t>
  </si>
  <si>
    <t>Pick up point</t>
  </si>
  <si>
    <t>Pickup Time</t>
  </si>
  <si>
    <t>Status</t>
  </si>
  <si>
    <t>Driver Details</t>
  </si>
  <si>
    <t>M/F</t>
  </si>
  <si>
    <t>Driver Name</t>
  </si>
  <si>
    <t>Passenger Count</t>
  </si>
  <si>
    <t>prabhat.priydarshi@globallogic.com</t>
  </si>
  <si>
    <t>Near Sidhant Sakhsam Tower, Lokhande layout, Lokhande nagar, 
 Parsodi, Subhash Nagar, Trimurti Nagar,Nagpur, Maharashtra - 440022</t>
  </si>
  <si>
    <t>CCD IT park</t>
  </si>
  <si>
    <t>YES</t>
  </si>
  <si>
    <t>MH49CW0078</t>
  </si>
  <si>
    <t>M</t>
  </si>
  <si>
    <t>pulipati.krishna@globallogic.com</t>
  </si>
  <si>
    <t>Near Drivven IT solutions LLP, near Shambhaji Square, 
 Bandu Soni Layout, Subhash Nagar, Trimurthi Nagar,</t>
  </si>
  <si>
    <t>Shubhash Nagar</t>
  </si>
  <si>
    <t>DRIVER-SURAJ</t>
  </si>
  <si>
    <t>akansha.khode@globallogic.com</t>
  </si>
  <si>
    <t>Plot No 22, Vijaya Nagar, opposite to VNIT main gate, 
 south ambazari road, IT park Nagpur - 440022</t>
  </si>
  <si>
    <t>Vijaya Nagar Main Gate</t>
  </si>
  <si>
    <t>MOB-9561326459</t>
  </si>
  <si>
    <t>F</t>
  </si>
  <si>
    <t>meghana.u@globallogic.com</t>
  </si>
  <si>
    <t>#34 Amma pg Karve nagar Somalvada Wardha road Nagpur - 440025</t>
  </si>
  <si>
    <t>Kanak Car center</t>
  </si>
  <si>
    <t>NO SHOW</t>
  </si>
  <si>
    <t>cheparthi.vasanthi@globallogic.com</t>
  </si>
  <si>
    <t>Moraj Apartments</t>
  </si>
  <si>
    <t>anima.dixit@globallogic.com</t>
  </si>
  <si>
    <t>Shiv Kailasa, MIHAN, Nagpur, Sondapar</t>
  </si>
  <si>
    <t>Shiv Kailasa</t>
  </si>
  <si>
    <t>rushabh.bhagate@globallogic.com</t>
  </si>
  <si>
    <t>lot no. 115, Geeta, RPTS road, Surendra Nagar, Near Jerry Lawns,</t>
  </si>
  <si>
    <t>Near Neeri School , Towards Ajni Sqr road</t>
  </si>
  <si>
    <t>MH40CT4542</t>
  </si>
  <si>
    <t>b.p.kumar2@globallogic.com</t>
  </si>
  <si>
    <t>Plot No. 57, Samaj Bhushan Society, Somalwada, Wardha Road,</t>
  </si>
  <si>
    <t>Apollo Pharmacy</t>
  </si>
  <si>
    <t>Driver-amol</t>
  </si>
  <si>
    <t>Cove Girls PG, Plot no 1, Shyam Sudha, Santaji society, Matakanya layout,
 Manish Nagar, Somalwada, Nagpur, Maharashtra, 440015</t>
  </si>
  <si>
    <t>Gandhi automation Pvt Ltd gest house Manish nagar</t>
  </si>
  <si>
    <t>Mob-9518731297</t>
  </si>
  <si>
    <t>adarsh.kumar3@globallogic.com</t>
  </si>
  <si>
    <t>House no 17, gali no.4, atulya layout narhari nagar. manewada baisa road.</t>
  </si>
  <si>
    <t>Shahu's Vandan Garden Restro And Lawn</t>
  </si>
  <si>
    <t>MH49CW0876</t>
  </si>
  <si>
    <t>m.f.k@globallogic.com</t>
  </si>
  <si>
    <t>335, Nagar Vikas Housing Society, Narendra Nagar,Nagpur, Maharashtra-440015"</t>
  </si>
  <si>
    <t>Narendra Nagar</t>
  </si>
  <si>
    <t>Driver-Shreekant</t>
  </si>
  <si>
    <t>navneel.purohit@globallogic.com</t>
  </si>
  <si>
    <t>Pioneer Orchid, Mouza Chinchbhuvan</t>
  </si>
  <si>
    <t>Chinchbhuvan</t>
  </si>
  <si>
    <t>MOB-9326604708</t>
  </si>
  <si>
    <t>g.s.prasad@globallogic.com</t>
  </si>
  <si>
    <t>Flat no B-408, Mangalmurti Residency,Plot no 365/2, KnNo 94/2 
 Parsodi.Wardha Road, Opp. MidasHospital,Nagpur,Maharastra</t>
  </si>
  <si>
    <t>Midas Hospital Parsodi</t>
  </si>
  <si>
    <t>ritesh.kothawade@globallogic.com</t>
  </si>
  <si>
    <t>504, 7A, Mahindra Bloomdale, Mihan Sez, Khapri, Nagpur.</t>
  </si>
  <si>
    <t>Bloomdale</t>
  </si>
  <si>
    <t>sohit.mishra@globallogic.com</t>
  </si>
  <si>
    <t>Near Saiba towers Beside Sky Blue Farmhouse Gorewada Nagpur 441123</t>
  </si>
  <si>
    <t>Saiba towers Gorewada</t>
  </si>
  <si>
    <t>MH49BZ0910</t>
  </si>
  <si>
    <t>B-403, Swapnil Enclave, Amravati Road, Kachimet, Nagpur - 440023</t>
  </si>
  <si>
    <t>Highway Glory Restaurant</t>
  </si>
  <si>
    <t>Mob- 9767374856</t>
  </si>
  <si>
    <t>nitin.gujar@globallogic.com</t>
  </si>
  <si>
    <t>C/O. Nandkishor Deshmukh H. No. 4526, Prabhag No. 10 Bhagiratha Park, 
 Mahajanwadi, Hingna Wanadongri (CT), Nagpur – 441110</t>
  </si>
  <si>
    <t>Bhagiratha Park, Mahajanwadi, Hingna</t>
  </si>
  <si>
    <t>Driver- Ashish</t>
  </si>
  <si>
    <t>Escort</t>
  </si>
  <si>
    <t>MH49CW0218</t>
  </si>
  <si>
    <t>dipali.sharma@globallogic.com</t>
  </si>
  <si>
    <t>Lane-5, 315c Bharat Nagar behind Satya hotel, Kalmna Market Road Nagpur</t>
  </si>
  <si>
    <t>Nirvana Residency, Kalamna Market Rd, Neta Ji Nagar, Pardi,</t>
  </si>
  <si>
    <t>DRIVER- ANIKET</t>
  </si>
  <si>
    <t>anushri.bhise@globallogic.com</t>
  </si>
  <si>
    <t>Plot No 33, Balaji Jewellers Lane, Ayodhya Nagar, Nagpur - 440024</t>
  </si>
  <si>
    <t>Soham and Aluminium</t>
  </si>
  <si>
    <t>MOB-9325911859</t>
  </si>
  <si>
    <t>sayali.padole@globallogic.com</t>
  </si>
  <si>
    <t>Plot No 86, C/O Sanjay Chaudhari,Behind Kidzee 
 Hudkeshwar,Shivangi Nagar, Hudkeshwar</t>
  </si>
  <si>
    <t>Adarsh Lawn &amp; Hall</t>
  </si>
  <si>
    <t>devalla.kumar@globallogic.com</t>
  </si>
  <si>
    <t>Golden Vista Apartment,Flat No: 207, 
 Besa, Nagpur:</t>
  </si>
  <si>
    <t>St. Vincent Pallotti School</t>
  </si>
  <si>
    <t>poorvi.shrivas@globallogic.com</t>
  </si>
  <si>
    <t>32, jaiprabhu society, Olive hotel 
 inn, Manish Nagar, Shri Nagar, Nagpur</t>
  </si>
  <si>
    <t>OYO Hotel Olive Stay Inn</t>
  </si>
  <si>
    <t>abhay.marwade@globallogic.com</t>
  </si>
  <si>
    <t>PITRU CHHAYA NIWAS , QUARTER NUMBER 68/1 SOMWARI QUARTER,
 NEAR JUNA KAMGAR KALYAN KENDRA NAGPUR 440024</t>
  </si>
  <si>
    <t>SOMWARI QUARTER</t>
  </si>
  <si>
    <t>MH40DC0486</t>
  </si>
  <si>
    <t>kashameni.sanjana@globallogic.com</t>
  </si>
  <si>
    <t>Behind Rahul Daily Needs , Beltarodi Road</t>
  </si>
  <si>
    <t>Behind Rahul Daily Needs</t>
  </si>
  <si>
    <t>DRIVER-OM</t>
  </si>
  <si>
    <t>kumkum.sahoo@globallogic.com</t>
  </si>
  <si>
    <t>MOB-7719002637</t>
  </si>
  <si>
    <t>soma.lohitha@globallogic.com</t>
  </si>
  <si>
    <t>waraj Palace, Shilpa Nagpur-440015. society, Manish Nagar,</t>
  </si>
  <si>
    <t>Shilpa Nagpur society, Manish Nagar,</t>
  </si>
  <si>
    <t>aparna.khadatkar@globallogic.com</t>
  </si>
  <si>
    <t>30/D, Ekta Housing Society
 Near Himalaya Empire, Opposite Ramteke Nagar
 Beltarodi Road</t>
  </si>
  <si>
    <t>pranay.wekhande@globallogic.com</t>
  </si>
  <si>
    <t>Plot No.11/A, 3rd Lane, Behind Saibaba Temple, Ayodhya Nagar,Mahavir Kirana Stores</t>
  </si>
  <si>
    <t>Saibaba Temple, Ayodhya Nagar</t>
  </si>
  <si>
    <t>MH49BZ4328</t>
  </si>
  <si>
    <t>minal.ninawe@globallogic.com</t>
  </si>
  <si>
    <t>Plot No 42, Near Puma showroom Manish Nagar, T-point Besa Road Nagpur- 440037</t>
  </si>
  <si>
    <t>Puma showroom Manish Nagar</t>
  </si>
  <si>
    <t>Driver-GOVINDA</t>
  </si>
  <si>
    <t>raut.raghunath@globallogic.com</t>
  </si>
  <si>
    <t>Flat no. 204, 2nd floor, Gruhalaxmi appartment 3, Maitree Nagar, Beltarodi, Nagpur</t>
  </si>
  <si>
    <t>Maitree Nagar, Beltarodi</t>
  </si>
  <si>
    <t>MOB-9028826494</t>
  </si>
  <si>
    <t>Address: plot number 33, Sharma house, near Hadke Enterprises Aqua Water Supplier, Nagpur 440037</t>
  </si>
  <si>
    <t>Zup Zap Kitchen Manish nagar</t>
  </si>
  <si>
    <t>krunal.wath@globallogic.com</t>
  </si>
  <si>
    <t>213, friends Colony katol Road Nagpur</t>
  </si>
  <si>
    <t>friends Colony</t>
  </si>
  <si>
    <t>MH31FC8407</t>
  </si>
  <si>
    <t>Prashanth.pathlavath@globallogic.com</t>
  </si>
  <si>
    <t>Sindhu residency 57 DRAP, Telecom Nagar, Nagpur</t>
  </si>
  <si>
    <t>Telecom Nagar</t>
  </si>
  <si>
    <t>Driver=Prashant</t>
  </si>
  <si>
    <t>Mob=7620971911</t>
  </si>
  <si>
    <t>D4, Kanchan Kiran housing, Ramdaspeth, Nagpur - 440012</t>
  </si>
  <si>
    <t>Baidyashakti Lifecare Pvt. Ltd Ramdaspeth</t>
  </si>
  <si>
    <t>Chintaman Apartment, behind NIT Garden, Bhujbal Layout, Bhamti,
 Sainath Nagar, Trimurti Nagar, Nagpur, Maharashtra 440022</t>
  </si>
  <si>
    <t>Creative Minds Art Academ NIT Garden</t>
  </si>
  <si>
    <t>141 17b, Ram Mandir Road, Lokmanya Nagar, Nagpur, 17b,
 Ram Mandir Road, Lokmanya Nagar, Nagpur, NAGPUR,</t>
  </si>
  <si>
    <t>NOTARY &amp; ADV. SHILA GHAGRE Lokmanya Nagar</t>
  </si>
  <si>
    <t>Madhuban colony,Maharashtra chowk ,wanadongri,Hingna road,Nagpur- 441110</t>
  </si>
  <si>
    <t>Madhuban colony, wanadongri</t>
  </si>
  <si>
    <t>hingna city society,hingna nagpur</t>
  </si>
  <si>
    <t>Vedanshi Embroidery Hingna</t>
  </si>
  <si>
    <t>65, Shri Sant Gajanan Nagar, New Narasala Road, 
 Opposite Mauli Apartment, Nagpur - 440034</t>
  </si>
  <si>
    <t>Mauli Apartment</t>
  </si>
  <si>
    <t>New Amarnagar, Near Manewada</t>
  </si>
  <si>
    <t>New Amarnagar</t>
  </si>
  <si>
    <t>Plot no 57,Shilpa co.op.society, Narendra Nagar.nagpur 440015</t>
  </si>
  <si>
    <t>Plot no 45, Bhartiya Society, Prabhu nagar, New Manishnagar, Near Jayanti Mansion 9, Nagpur</t>
  </si>
  <si>
    <t>New Manishnagar, Near Jayanti Mansion 9</t>
  </si>
  <si>
    <t>pulavarthy.kumar@globallogic.com</t>
  </si>
  <si>
    <t>Plot no 95, Shrikrushna negar, manewada, bese road, Nagpur Landmar: Jagannath Mandir</t>
  </si>
  <si>
    <t>Landmar: Jagannath Mandir</t>
  </si>
  <si>
    <t>NA</t>
  </si>
  <si>
    <t>Plot no 23, laxmi vihar, Near hotel royal centre point hotel heritage, behind airport center Nagpur</t>
  </si>
  <si>
    <t>airport center hotel</t>
  </si>
  <si>
    <t>Plot No. 78, 2nd floor, Arya Nagar near Sugat Nagar,Samta Nagar Road, 
 Near Manmeete Bar and Lounge Restaurant</t>
  </si>
  <si>
    <t>Sugat Nagar</t>
  </si>
  <si>
    <t>likesh.barve@globallogic.com</t>
  </si>
  <si>
    <t>Om sai nagar koradi road, plot no. 101 dhoke layout near sai mandir, Nagpur 440030</t>
  </si>
  <si>
    <t>Om nagar koradi road</t>
  </si>
  <si>
    <t>Elite homes pt no57, east samarth nagar, old, Wardha Rd, 
 behind FCI Godown Road, Ajni, Nagpur, Maharashtra 440015</t>
  </si>
  <si>
    <t>Ajni Electric Loco Shed</t>
  </si>
  <si>
    <t>geeta.rajput@globallogic.com</t>
  </si>
  <si>
    <t>Amma pg Karve nagar Somalvada</t>
  </si>
  <si>
    <t>sejal.shahare@globallogic.com</t>
  </si>
  <si>
    <t>D-201, Chimurkar Appartment, Chinchbhawan, wardha road, Nagpur, maharashtra</t>
  </si>
  <si>
    <t>Zade child clinic Chinchbhawan</t>
  </si>
  <si>
    <t>yash.dubey@globallogic.com</t>
  </si>
  <si>
    <t>Jaywant co operative housing society, behind Ramteke nagar, 
 Omkar Nagar, Nagpur, Maharashtra 440027</t>
  </si>
  <si>
    <t>Roshan Mini Transport</t>
  </si>
  <si>
    <t>Radhakrishna Apartment Behind Krishna Super Mart 2 Manish Nagar, Nagpur</t>
  </si>
  <si>
    <t>Krishna Super Mart 2</t>
  </si>
  <si>
    <t>nisha.shyamsukha@globallogic.com</t>
  </si>
  <si>
    <t>Harihar Gokul Park 2, near Axis Bank, Manish Nagar,</t>
  </si>
  <si>
    <t>Axis Bank, Manish Nagar</t>
  </si>
  <si>
    <t>52 Jai Durga Society, Narendra Nagar, Nagpur pin -440015,</t>
  </si>
  <si>
    <t>Neelkamal Homes</t>
  </si>
  <si>
    <t>pranay.haste@globallogic.com</t>
  </si>
  <si>
    <t>SPDL Aashray Apartment, Beltarodi, Besa Pipla, Nagpur.</t>
  </si>
  <si>
    <t>REVOLVE FITNESS GYM</t>
  </si>
  <si>
    <t>nikhil.ambule@globallogic.com</t>
  </si>
  <si>
    <t>Sadguru kirana and general store,Sai nagar near puliya, 1, Jaitala Rd, near dattey layout,
 Wadeskar Layout, Jaitala, string:Nagpur, Nagpur, Maharashtra 440036</t>
  </si>
  <si>
    <t>Sheshrao Kohale Vidhyalaya &amp; jr college</t>
  </si>
  <si>
    <t>vajja.prakash@globallogic.com</t>
  </si>
  <si>
    <t>Near Drivven IT solutions LLP,near shambhaji square,Bandu soni layout,
 subhash nagar,trimurthi nagar,nagpur,maharashtra 440022</t>
  </si>
  <si>
    <t>atharva.deo@globallogic.com</t>
  </si>
  <si>
    <t>P.N. 678, Deshpande layout, Bhandara road, 
 Wardhaman Nagar, Near Haldiram's building, Nagpur-440008</t>
  </si>
  <si>
    <t>day 2 day</t>
  </si>
  <si>
    <t>ravindra.farkade@globallogic.com</t>
  </si>
  <si>
    <t>Rajat Gawre House, Gurukunj Nagar, Near Vigyan nagar, 
 Manewada Nagpur,440034</t>
  </si>
  <si>
    <t>Front of Rajesh Saoji Bhojnalaya</t>
  </si>
  <si>
    <t>himanshu.10@globallogic.com</t>
  </si>
  <si>
    <t>"Plot No. 57, Samaj Bhushan Society,Somalwada, Wardha Road,</t>
  </si>
  <si>
    <t>kartik.ukhalkar@globallogic.com</t>
  </si>
  <si>
    <t>Ground floor, Orchid landmark, Behind Manomay Homes hotel, New Manish Naga</t>
  </si>
  <si>
    <t>Hotel Manomay</t>
  </si>
  <si>
    <t>lavakumar.khanapur@globallogic.com</t>
  </si>
  <si>
    <t>shilpa society,uco Bank behind somalwada branch manish Nagar</t>
  </si>
  <si>
    <t>Green Relocation</t>
  </si>
  <si>
    <t>Besa - Manish Nagar</t>
  </si>
  <si>
    <t>pethanan.kumar@globallogic.com</t>
  </si>
  <si>
    <t>Majestic Manor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</si>
</sst>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222222"/>
      <name val="Arial"/>
    </font>
    <font>
      <u/>
      <color rgb="FF1155CC"/>
      <name val="Georgia"/>
    </font>
    <font>
      <color rgb="FF222222"/>
      <name val="Georgia"/>
    </font>
    <font>
      <sz val="11.0"/>
      <color theme="1"/>
      <name val="Arial"/>
    </font>
    <font>
      <color rgb="FF1F1F1F"/>
      <name val="Google Sans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2" fillId="0" fontId="5" numFmtId="0" xfId="0" applyBorder="1" applyFont="1"/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/>
    </xf>
    <xf borderId="3" fillId="3" fontId="6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3" fillId="3" fontId="8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3" fillId="4" fontId="3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3" fillId="2" fontId="3" numFmtId="0" xfId="0" applyAlignment="1" applyBorder="1" applyFont="1">
      <alignment vertical="bottom"/>
    </xf>
    <xf borderId="3" fillId="3" fontId="10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vertical="bottom"/>
    </xf>
    <xf borderId="3" fillId="4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1:P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3">
        <f>IFERROR(__xludf.DUMMYFUNCTION("TRANSPOSE(UNIQUE(FILTER(C:C, C:C&lt;&gt;""Shift Time"", C:C&lt;&gt;""Escort"", C:C&lt;&gt;"""")))"),0.20833333333333334)</f>
        <v>0.2083333333</v>
      </c>
      <c r="M1" s="3">
        <f>IFERROR(__xludf.DUMMYFUNCTION("""COMPUTED_VALUE"""),0.3333333333333333)</f>
        <v>0.3333333333</v>
      </c>
      <c r="N1" s="3">
        <f>IFERROR(__xludf.DUMMYFUNCTION("""COMPUTED_VALUE"""),0.4791666666666667)</f>
        <v>0.4791666667</v>
      </c>
      <c r="O1" s="3">
        <f>IFERROR(__xludf.DUMMYFUNCTION("""COMPUTED_VALUE"""),0.4583333333333333)</f>
        <v>0.4583333333</v>
      </c>
      <c r="P1" s="3">
        <f>IFERROR(__xludf.DUMMYFUNCTION("""COMPUTED_VALUE"""),0.4166666666666667)</f>
        <v>0.4166666667</v>
      </c>
    </row>
    <row r="2">
      <c r="A2" s="4" t="s">
        <v>10</v>
      </c>
      <c r="B2" s="4" t="s">
        <v>11</v>
      </c>
      <c r="C2" s="5">
        <v>0.20833333333333334</v>
      </c>
      <c r="D2" s="4" t="s">
        <v>12</v>
      </c>
      <c r="E2" s="5">
        <v>0.16666666666666666</v>
      </c>
      <c r="F2" s="4" t="s">
        <v>13</v>
      </c>
      <c r="G2" s="6" t="s">
        <v>14</v>
      </c>
      <c r="H2" s="4" t="s">
        <v>15</v>
      </c>
      <c r="J2" s="7" t="str">
        <f>IFERROR(__xludf.DUMMYFUNCTION("UNIQUE(FILTER(G:G, REGEXMATCH(UPPER(G:G), ""^DRIVER[-=]"")))"),"DRIVER-SURAJ")</f>
        <v>DRIVER-SURAJ</v>
      </c>
      <c r="K2" s="8">
        <v>6.0</v>
      </c>
      <c r="L2" s="9" t="str">
        <f t="shared" ref="L2:P2" si="1">IF(COUNTIFS($G:$G, $J2, $C:$C, L$1)&gt;0, "✓", "")</f>
        <v>✓</v>
      </c>
      <c r="M2" s="9" t="str">
        <f t="shared" si="1"/>
        <v/>
      </c>
      <c r="N2" s="9" t="str">
        <f t="shared" si="1"/>
        <v>✓</v>
      </c>
      <c r="O2" s="9" t="str">
        <f t="shared" si="1"/>
        <v/>
      </c>
      <c r="P2" s="9" t="str">
        <f t="shared" si="1"/>
        <v/>
      </c>
    </row>
    <row r="3">
      <c r="A3" s="4" t="s">
        <v>16</v>
      </c>
      <c r="B3" s="10" t="s">
        <v>17</v>
      </c>
      <c r="C3" s="5">
        <v>0.20833333333333334</v>
      </c>
      <c r="D3" s="4" t="s">
        <v>18</v>
      </c>
      <c r="E3" s="5">
        <v>0.1701388888888889</v>
      </c>
      <c r="F3" s="4" t="s">
        <v>13</v>
      </c>
      <c r="G3" s="6" t="s">
        <v>19</v>
      </c>
      <c r="H3" s="4" t="s">
        <v>15</v>
      </c>
      <c r="J3" s="7" t="str">
        <f>IFERROR(__xludf.DUMMYFUNCTION("""COMPUTED_VALUE"""),"Driver-amol")</f>
        <v>Driver-amol</v>
      </c>
      <c r="K3" s="8">
        <v>4.0</v>
      </c>
      <c r="L3" s="9" t="str">
        <f t="shared" ref="L3:P3" si="2">IF(COUNTIFS($G:$G, $J3, $C:$C, L$1)&gt;0, "✓", "")</f>
        <v>✓</v>
      </c>
      <c r="M3" s="9" t="str">
        <f t="shared" si="2"/>
        <v/>
      </c>
      <c r="N3" s="9" t="str">
        <f t="shared" si="2"/>
        <v/>
      </c>
      <c r="O3" s="9" t="str">
        <f t="shared" si="2"/>
        <v/>
      </c>
      <c r="P3" s="9" t="str">
        <f t="shared" si="2"/>
        <v/>
      </c>
    </row>
    <row r="4">
      <c r="A4" s="4" t="s">
        <v>20</v>
      </c>
      <c r="B4" s="4" t="s">
        <v>21</v>
      </c>
      <c r="C4" s="5">
        <v>0.20833333333333334</v>
      </c>
      <c r="D4" s="4" t="s">
        <v>22</v>
      </c>
      <c r="E4" s="5">
        <v>0.1736111111111111</v>
      </c>
      <c r="F4" s="4" t="s">
        <v>13</v>
      </c>
      <c r="G4" s="6" t="s">
        <v>23</v>
      </c>
      <c r="H4" s="4" t="s">
        <v>24</v>
      </c>
      <c r="J4" s="7" t="str">
        <f>IFERROR(__xludf.DUMMYFUNCTION("""COMPUTED_VALUE"""),"Driver-Shreekant")</f>
        <v>Driver-Shreekant</v>
      </c>
      <c r="K4" s="8">
        <v>6.0</v>
      </c>
      <c r="L4" s="9" t="str">
        <f t="shared" ref="L4:P4" si="3">IF(COUNTIFS($G:$G, $J4, $C:$C, L$1)&gt;0, "✓", "")</f>
        <v>✓</v>
      </c>
      <c r="M4" s="9" t="str">
        <f t="shared" si="3"/>
        <v>✓</v>
      </c>
      <c r="N4" s="9" t="str">
        <f t="shared" si="3"/>
        <v>✓</v>
      </c>
      <c r="O4" s="9" t="str">
        <f t="shared" si="3"/>
        <v/>
      </c>
      <c r="P4" s="9" t="str">
        <f t="shared" si="3"/>
        <v/>
      </c>
    </row>
    <row r="5">
      <c r="A5" s="4" t="s">
        <v>25</v>
      </c>
      <c r="B5" s="4" t="s">
        <v>26</v>
      </c>
      <c r="C5" s="5">
        <v>0.20833333333333334</v>
      </c>
      <c r="D5" s="4" t="s">
        <v>27</v>
      </c>
      <c r="E5" s="5">
        <v>0.18055555555555555</v>
      </c>
      <c r="F5" s="4" t="s">
        <v>28</v>
      </c>
      <c r="G5" s="11"/>
      <c r="H5" s="4" t="s">
        <v>24</v>
      </c>
      <c r="J5" s="7" t="str">
        <f>IFERROR(__xludf.DUMMYFUNCTION("""COMPUTED_VALUE"""),"Driver- Ashish")</f>
        <v>Driver- Ashish</v>
      </c>
      <c r="K5" s="8">
        <v>4.0</v>
      </c>
      <c r="L5" s="9" t="str">
        <f t="shared" ref="L5:P5" si="4">IF(COUNTIFS($G:$G, $J5, $C:$C, L$1)&gt;0, "✓", "")</f>
        <v>✓</v>
      </c>
      <c r="M5" s="9" t="str">
        <f t="shared" si="4"/>
        <v>✓</v>
      </c>
      <c r="N5" s="9" t="str">
        <f t="shared" si="4"/>
        <v/>
      </c>
      <c r="O5" s="9" t="str">
        <f t="shared" si="4"/>
        <v/>
      </c>
      <c r="P5" s="9" t="str">
        <f t="shared" si="4"/>
        <v/>
      </c>
    </row>
    <row r="6">
      <c r="A6" s="4" t="s">
        <v>29</v>
      </c>
      <c r="B6" s="4" t="s">
        <v>30</v>
      </c>
      <c r="C6" s="5">
        <v>0.20833333333333334</v>
      </c>
      <c r="D6" s="4" t="s">
        <v>30</v>
      </c>
      <c r="E6" s="5">
        <v>0.1909722222222222</v>
      </c>
      <c r="F6" s="4" t="s">
        <v>13</v>
      </c>
      <c r="G6" s="11"/>
      <c r="H6" s="4" t="s">
        <v>24</v>
      </c>
      <c r="J6" s="7" t="str">
        <f>IFERROR(__xludf.DUMMYFUNCTION("""COMPUTED_VALUE"""),"DRIVER- ANIKET")</f>
        <v>DRIVER- ANIKET</v>
      </c>
      <c r="K6" s="8">
        <v>6.0</v>
      </c>
      <c r="L6" s="9" t="str">
        <f t="shared" ref="L6:P6" si="5">IF(COUNTIFS($G:$G, $J6, $C:$C, L$1)&gt;0, "✓", "")</f>
        <v>✓</v>
      </c>
      <c r="M6" s="9" t="str">
        <f t="shared" si="5"/>
        <v>✓</v>
      </c>
      <c r="N6" s="9" t="str">
        <f t="shared" si="5"/>
        <v/>
      </c>
      <c r="O6" s="9" t="str">
        <f t="shared" si="5"/>
        <v/>
      </c>
      <c r="P6" s="9" t="str">
        <f t="shared" si="5"/>
        <v>✓</v>
      </c>
    </row>
    <row r="7">
      <c r="A7" s="12" t="s">
        <v>31</v>
      </c>
      <c r="B7" s="4" t="s">
        <v>32</v>
      </c>
      <c r="C7" s="5">
        <v>0.20833333333333334</v>
      </c>
      <c r="D7" s="4" t="s">
        <v>33</v>
      </c>
      <c r="E7" s="5">
        <v>0.19444444444444445</v>
      </c>
      <c r="F7" s="4" t="s">
        <v>13</v>
      </c>
      <c r="G7" s="11"/>
      <c r="H7" s="4" t="s">
        <v>24</v>
      </c>
      <c r="J7" s="7" t="str">
        <f>IFERROR(__xludf.DUMMYFUNCTION("""COMPUTED_VALUE"""),"DRIVER-OM")</f>
        <v>DRIVER-OM</v>
      </c>
      <c r="K7" s="8">
        <v>6.0</v>
      </c>
      <c r="L7" s="9" t="str">
        <f t="shared" ref="L7:P7" si="6">IF(COUNTIFS($G:$G, $J7, $C:$C, L$1)&gt;0, "✓", "")</f>
        <v>✓</v>
      </c>
      <c r="M7" s="9" t="str">
        <f t="shared" si="6"/>
        <v/>
      </c>
      <c r="N7" s="9" t="str">
        <f t="shared" si="6"/>
        <v/>
      </c>
      <c r="O7" s="9" t="str">
        <f t="shared" si="6"/>
        <v/>
      </c>
      <c r="P7" s="9" t="str">
        <f t="shared" si="6"/>
        <v/>
      </c>
    </row>
    <row r="8">
      <c r="A8" s="11"/>
      <c r="B8" s="11"/>
      <c r="C8" s="11"/>
      <c r="D8" s="11"/>
      <c r="E8" s="11"/>
      <c r="F8" s="11"/>
      <c r="G8" s="11"/>
      <c r="H8" s="11"/>
      <c r="J8" s="7" t="str">
        <f>IFERROR(__xludf.DUMMYFUNCTION("""COMPUTED_VALUE"""),"Driver-GOVINDA")</f>
        <v>Driver-GOVINDA</v>
      </c>
      <c r="K8" s="8">
        <v>4.0</v>
      </c>
      <c r="L8" s="9" t="str">
        <f t="shared" ref="L8:P8" si="7">IF(COUNTIFS($G:$G, $J8, $C:$C, L$1)&gt;0, "✓", "")</f>
        <v>✓</v>
      </c>
      <c r="M8" s="9" t="str">
        <f t="shared" si="7"/>
        <v/>
      </c>
      <c r="N8" s="9" t="str">
        <f t="shared" si="7"/>
        <v/>
      </c>
      <c r="O8" s="9" t="str">
        <f t="shared" si="7"/>
        <v/>
      </c>
      <c r="P8" s="9" t="str">
        <f t="shared" si="7"/>
        <v/>
      </c>
    </row>
    <row r="9">
      <c r="A9" s="13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J9" s="7" t="str">
        <f>IFERROR(__xludf.DUMMYFUNCTION("""COMPUTED_VALUE"""),"Driver=Prashant")</f>
        <v>Driver=Prashant</v>
      </c>
      <c r="K9" s="8">
        <v>4.0</v>
      </c>
      <c r="L9" s="9" t="str">
        <f t="shared" ref="L9:P9" si="8">IF(COUNTIFS($G:$G, $J9, $C:$C, L$1)&gt;0, "✓", "")</f>
        <v/>
      </c>
      <c r="M9" s="9" t="str">
        <f t="shared" si="8"/>
        <v>✓</v>
      </c>
      <c r="N9" s="9" t="str">
        <f t="shared" si="8"/>
        <v/>
      </c>
      <c r="O9" s="9" t="str">
        <f t="shared" si="8"/>
        <v>✓</v>
      </c>
      <c r="P9" s="9" t="str">
        <f t="shared" si="8"/>
        <v/>
      </c>
    </row>
    <row r="10">
      <c r="A10" s="4" t="s">
        <v>34</v>
      </c>
      <c r="B10" s="10" t="s">
        <v>35</v>
      </c>
      <c r="C10" s="5">
        <v>0.20833333333333334</v>
      </c>
      <c r="D10" s="4" t="s">
        <v>36</v>
      </c>
      <c r="E10" s="5">
        <v>0.1736111111111111</v>
      </c>
      <c r="F10" s="14" t="s">
        <v>13</v>
      </c>
      <c r="G10" s="6" t="s">
        <v>37</v>
      </c>
      <c r="H10" s="4" t="s">
        <v>15</v>
      </c>
    </row>
    <row r="11">
      <c r="A11" s="4" t="s">
        <v>38</v>
      </c>
      <c r="B11" s="15" t="s">
        <v>39</v>
      </c>
      <c r="C11" s="5">
        <v>0.20833333333333334</v>
      </c>
      <c r="D11" s="4" t="s">
        <v>40</v>
      </c>
      <c r="E11" s="5">
        <v>0.18055555555555555</v>
      </c>
      <c r="F11" s="14" t="s">
        <v>13</v>
      </c>
      <c r="G11" s="6" t="s">
        <v>41</v>
      </c>
      <c r="H11" s="4" t="s">
        <v>15</v>
      </c>
    </row>
    <row r="12">
      <c r="A12" s="16"/>
      <c r="B12" s="17" t="s">
        <v>42</v>
      </c>
      <c r="C12" s="5">
        <v>0.20833333333333334</v>
      </c>
      <c r="D12" s="4" t="s">
        <v>43</v>
      </c>
      <c r="E12" s="5">
        <v>0.1840277777777778</v>
      </c>
      <c r="F12" s="14" t="s">
        <v>13</v>
      </c>
      <c r="G12" s="6" t="s">
        <v>44</v>
      </c>
      <c r="H12" s="4" t="s">
        <v>24</v>
      </c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3" t="s">
        <v>0</v>
      </c>
      <c r="B14" s="13" t="s">
        <v>1</v>
      </c>
      <c r="C14" s="13" t="s">
        <v>2</v>
      </c>
      <c r="D14" s="13" t="s">
        <v>3</v>
      </c>
      <c r="E14" s="13" t="s">
        <v>4</v>
      </c>
      <c r="F14" s="13" t="s">
        <v>5</v>
      </c>
      <c r="G14" s="13" t="s">
        <v>6</v>
      </c>
      <c r="H14" s="13" t="s">
        <v>7</v>
      </c>
    </row>
    <row r="15">
      <c r="A15" s="4" t="s">
        <v>45</v>
      </c>
      <c r="B15" s="4" t="s">
        <v>46</v>
      </c>
      <c r="C15" s="5">
        <v>0.20833333333333334</v>
      </c>
      <c r="D15" s="15" t="s">
        <v>47</v>
      </c>
      <c r="E15" s="5">
        <v>0.15416666666666667</v>
      </c>
      <c r="F15" s="4" t="s">
        <v>13</v>
      </c>
      <c r="G15" s="18" t="s">
        <v>48</v>
      </c>
      <c r="H15" s="4" t="s">
        <v>15</v>
      </c>
    </row>
    <row r="16">
      <c r="A16" s="4" t="s">
        <v>49</v>
      </c>
      <c r="B16" s="4" t="s">
        <v>50</v>
      </c>
      <c r="C16" s="5">
        <v>0.20833333333333334</v>
      </c>
      <c r="D16" s="4" t="s">
        <v>51</v>
      </c>
      <c r="E16" s="5">
        <v>0.16319444444444445</v>
      </c>
      <c r="F16" s="4" t="s">
        <v>28</v>
      </c>
      <c r="G16" s="18" t="s">
        <v>52</v>
      </c>
      <c r="H16" s="4" t="s">
        <v>15</v>
      </c>
    </row>
    <row r="17">
      <c r="A17" s="4" t="s">
        <v>53</v>
      </c>
      <c r="B17" s="10" t="s">
        <v>54</v>
      </c>
      <c r="C17" s="5">
        <v>0.20833333333333334</v>
      </c>
      <c r="D17" s="4" t="s">
        <v>55</v>
      </c>
      <c r="E17" s="5">
        <v>0.17708333333333334</v>
      </c>
      <c r="F17" s="4" t="s">
        <v>28</v>
      </c>
      <c r="G17" s="18" t="s">
        <v>56</v>
      </c>
      <c r="H17" s="4" t="s">
        <v>15</v>
      </c>
    </row>
    <row r="18">
      <c r="A18" s="19" t="s">
        <v>57</v>
      </c>
      <c r="B18" s="4" t="s">
        <v>58</v>
      </c>
      <c r="C18" s="5">
        <v>0.20833333333333334</v>
      </c>
      <c r="D18" s="4" t="s">
        <v>59</v>
      </c>
      <c r="E18" s="5">
        <v>0.1840277777777778</v>
      </c>
      <c r="F18" s="4" t="s">
        <v>13</v>
      </c>
      <c r="G18" s="11"/>
      <c r="H18" s="4" t="s">
        <v>15</v>
      </c>
    </row>
    <row r="19">
      <c r="A19" s="4" t="s">
        <v>60</v>
      </c>
      <c r="B19" s="4" t="s">
        <v>61</v>
      </c>
      <c r="C19" s="5">
        <v>0.20833333333333334</v>
      </c>
      <c r="D19" s="4" t="s">
        <v>62</v>
      </c>
      <c r="E19" s="5">
        <v>0.1909722222222222</v>
      </c>
      <c r="F19" s="4" t="s">
        <v>13</v>
      </c>
      <c r="G19" s="11"/>
      <c r="H19" s="4" t="s">
        <v>15</v>
      </c>
    </row>
    <row r="20">
      <c r="A20" s="20"/>
      <c r="B20" s="20"/>
      <c r="C20" s="20"/>
      <c r="D20" s="20"/>
      <c r="E20" s="20"/>
      <c r="F20" s="20"/>
      <c r="G20" s="20"/>
      <c r="H20" s="20"/>
    </row>
    <row r="21">
      <c r="A21" s="13" t="s">
        <v>0</v>
      </c>
      <c r="B21" s="13" t="s">
        <v>1</v>
      </c>
      <c r="C21" s="13" t="s">
        <v>2</v>
      </c>
      <c r="D21" s="13" t="s">
        <v>3</v>
      </c>
      <c r="E21" s="13" t="s">
        <v>4</v>
      </c>
      <c r="F21" s="13" t="s">
        <v>5</v>
      </c>
      <c r="G21" s="13" t="s">
        <v>6</v>
      </c>
      <c r="H21" s="13" t="s">
        <v>7</v>
      </c>
    </row>
    <row r="22">
      <c r="A22" s="4" t="s">
        <v>63</v>
      </c>
      <c r="B22" s="4" t="s">
        <v>64</v>
      </c>
      <c r="C22" s="5">
        <v>0.20833333333333334</v>
      </c>
      <c r="D22" s="4" t="s">
        <v>65</v>
      </c>
      <c r="E22" s="5">
        <v>0.15625</v>
      </c>
      <c r="F22" s="4" t="s">
        <v>13</v>
      </c>
      <c r="G22" s="18" t="s">
        <v>66</v>
      </c>
      <c r="H22" s="15" t="s">
        <v>15</v>
      </c>
    </row>
    <row r="23">
      <c r="A23" s="16"/>
      <c r="B23" s="15" t="s">
        <v>67</v>
      </c>
      <c r="C23" s="5">
        <v>0.20833333333333334</v>
      </c>
      <c r="D23" s="17" t="s">
        <v>68</v>
      </c>
      <c r="E23" s="5">
        <v>0.16666666666666666</v>
      </c>
      <c r="F23" s="4" t="s">
        <v>13</v>
      </c>
      <c r="G23" s="18" t="s">
        <v>69</v>
      </c>
      <c r="H23" s="15" t="s">
        <v>15</v>
      </c>
    </row>
    <row r="24">
      <c r="A24" s="4" t="s">
        <v>70</v>
      </c>
      <c r="B24" s="15" t="s">
        <v>71</v>
      </c>
      <c r="C24" s="5">
        <v>0.20833333333333334</v>
      </c>
      <c r="D24" s="17" t="s">
        <v>72</v>
      </c>
      <c r="E24" s="5">
        <v>0.1875</v>
      </c>
      <c r="F24" s="4" t="s">
        <v>13</v>
      </c>
      <c r="G24" s="18" t="s">
        <v>73</v>
      </c>
      <c r="H24" s="4" t="s">
        <v>15</v>
      </c>
    </row>
    <row r="25">
      <c r="A25" s="11"/>
      <c r="B25" s="11"/>
      <c r="C25" s="11"/>
      <c r="D25" s="11"/>
      <c r="E25" s="11"/>
      <c r="F25" s="11"/>
      <c r="G25" s="11"/>
      <c r="H25" s="4" t="s">
        <v>15</v>
      </c>
    </row>
    <row r="26">
      <c r="A26" s="13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</row>
    <row r="27">
      <c r="A27" s="4" t="s">
        <v>74</v>
      </c>
      <c r="B27" s="21" t="s">
        <v>74</v>
      </c>
      <c r="C27" s="21" t="s">
        <v>74</v>
      </c>
      <c r="D27" s="15" t="s">
        <v>74</v>
      </c>
      <c r="E27" s="5">
        <v>0.125</v>
      </c>
      <c r="F27" s="15" t="s">
        <v>13</v>
      </c>
      <c r="G27" s="6" t="s">
        <v>75</v>
      </c>
      <c r="H27" s="4" t="s">
        <v>15</v>
      </c>
    </row>
    <row r="28">
      <c r="A28" s="4" t="s">
        <v>76</v>
      </c>
      <c r="B28" s="4" t="s">
        <v>77</v>
      </c>
      <c r="C28" s="5">
        <v>0.20833333333333334</v>
      </c>
      <c r="D28" s="4" t="s">
        <v>78</v>
      </c>
      <c r="E28" s="5">
        <v>0.1597222222222222</v>
      </c>
      <c r="F28" s="15" t="s">
        <v>13</v>
      </c>
      <c r="G28" s="6" t="s">
        <v>79</v>
      </c>
      <c r="H28" s="4" t="s">
        <v>24</v>
      </c>
    </row>
    <row r="29">
      <c r="A29" s="4" t="s">
        <v>80</v>
      </c>
      <c r="B29" s="4" t="s">
        <v>81</v>
      </c>
      <c r="C29" s="5">
        <v>0.20833333333333334</v>
      </c>
      <c r="D29" s="4" t="s">
        <v>82</v>
      </c>
      <c r="E29" s="5">
        <v>0.1701388888888889</v>
      </c>
      <c r="F29" s="15" t="s">
        <v>13</v>
      </c>
      <c r="G29" s="6" t="s">
        <v>83</v>
      </c>
      <c r="H29" s="4" t="s">
        <v>24</v>
      </c>
    </row>
    <row r="30">
      <c r="A30" s="4" t="s">
        <v>84</v>
      </c>
      <c r="B30" s="15" t="s">
        <v>85</v>
      </c>
      <c r="C30" s="5">
        <v>0.20833333333333334</v>
      </c>
      <c r="D30" s="4" t="s">
        <v>86</v>
      </c>
      <c r="E30" s="5">
        <v>0.17708333333333334</v>
      </c>
      <c r="F30" s="15" t="s">
        <v>13</v>
      </c>
      <c r="G30" s="11"/>
      <c r="H30" s="4" t="s">
        <v>24</v>
      </c>
    </row>
    <row r="31">
      <c r="A31" s="4" t="s">
        <v>87</v>
      </c>
      <c r="B31" s="4" t="s">
        <v>88</v>
      </c>
      <c r="C31" s="5">
        <v>0.20833333333333334</v>
      </c>
      <c r="D31" s="4" t="s">
        <v>89</v>
      </c>
      <c r="E31" s="5">
        <v>0.1840277777777778</v>
      </c>
      <c r="F31" s="15" t="s">
        <v>13</v>
      </c>
      <c r="G31" s="11"/>
      <c r="H31" s="4" t="s">
        <v>15</v>
      </c>
    </row>
    <row r="32">
      <c r="A32" s="4" t="s">
        <v>90</v>
      </c>
      <c r="B32" s="4" t="s">
        <v>91</v>
      </c>
      <c r="C32" s="5">
        <v>0.20833333333333334</v>
      </c>
      <c r="D32" s="4" t="s">
        <v>92</v>
      </c>
      <c r="E32" s="5">
        <v>0.1875</v>
      </c>
      <c r="F32" s="15" t="s">
        <v>13</v>
      </c>
      <c r="G32" s="11"/>
      <c r="H32" s="4" t="s">
        <v>24</v>
      </c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3" t="s">
        <v>0</v>
      </c>
      <c r="B34" s="13" t="s">
        <v>1</v>
      </c>
      <c r="C34" s="13" t="s">
        <v>2</v>
      </c>
      <c r="D34" s="13" t="s">
        <v>3</v>
      </c>
      <c r="E34" s="13" t="s">
        <v>4</v>
      </c>
      <c r="F34" s="13" t="s">
        <v>5</v>
      </c>
      <c r="G34" s="13" t="s">
        <v>6</v>
      </c>
      <c r="H34" s="13" t="s">
        <v>7</v>
      </c>
    </row>
    <row r="35">
      <c r="A35" s="4" t="s">
        <v>93</v>
      </c>
      <c r="B35" s="15" t="s">
        <v>94</v>
      </c>
      <c r="C35" s="5">
        <v>0.20833333333333334</v>
      </c>
      <c r="D35" s="4" t="s">
        <v>95</v>
      </c>
      <c r="E35" s="5">
        <v>0.1527777777777778</v>
      </c>
      <c r="F35" s="4" t="s">
        <v>13</v>
      </c>
      <c r="G35" s="6" t="s">
        <v>96</v>
      </c>
      <c r="H35" s="4" t="s">
        <v>15</v>
      </c>
    </row>
    <row r="36">
      <c r="A36" s="4" t="s">
        <v>97</v>
      </c>
      <c r="B36" s="4" t="s">
        <v>98</v>
      </c>
      <c r="C36" s="5">
        <v>0.20833333333333334</v>
      </c>
      <c r="D36" s="4" t="s">
        <v>99</v>
      </c>
      <c r="E36" s="5">
        <v>0.16319444444444445</v>
      </c>
      <c r="F36" s="4" t="s">
        <v>28</v>
      </c>
      <c r="G36" s="6" t="s">
        <v>100</v>
      </c>
      <c r="H36" s="4" t="s">
        <v>24</v>
      </c>
    </row>
    <row r="37">
      <c r="A37" s="4" t="s">
        <v>101</v>
      </c>
      <c r="B37" s="4" t="s">
        <v>98</v>
      </c>
      <c r="C37" s="5">
        <v>0.20833333333333334</v>
      </c>
      <c r="D37" s="4" t="s">
        <v>99</v>
      </c>
      <c r="E37" s="5">
        <v>0.16319444444444445</v>
      </c>
      <c r="F37" s="4" t="s">
        <v>13</v>
      </c>
      <c r="G37" s="6" t="s">
        <v>102</v>
      </c>
      <c r="H37" s="4" t="s">
        <v>24</v>
      </c>
    </row>
    <row r="38">
      <c r="A38" s="4" t="s">
        <v>103</v>
      </c>
      <c r="B38" s="4" t="s">
        <v>98</v>
      </c>
      <c r="C38" s="5">
        <v>0.20833333333333334</v>
      </c>
      <c r="D38" s="4" t="s">
        <v>99</v>
      </c>
      <c r="E38" s="5">
        <v>0.16319444444444445</v>
      </c>
      <c r="F38" s="4" t="s">
        <v>13</v>
      </c>
      <c r="G38" s="11"/>
      <c r="H38" s="4" t="s">
        <v>24</v>
      </c>
    </row>
    <row r="39">
      <c r="A39" s="16"/>
      <c r="B39" s="4" t="s">
        <v>104</v>
      </c>
      <c r="C39" s="5">
        <v>0.20833333333333334</v>
      </c>
      <c r="D39" s="4" t="s">
        <v>105</v>
      </c>
      <c r="E39" s="5">
        <v>0.16319444444444445</v>
      </c>
      <c r="F39" s="4" t="s">
        <v>13</v>
      </c>
      <c r="G39" s="11"/>
      <c r="H39" s="4" t="s">
        <v>24</v>
      </c>
    </row>
    <row r="40">
      <c r="A40" s="4" t="s">
        <v>106</v>
      </c>
      <c r="B40" s="4" t="s">
        <v>107</v>
      </c>
      <c r="C40" s="5">
        <v>0.20833333333333334</v>
      </c>
      <c r="D40" s="4" t="s">
        <v>99</v>
      </c>
      <c r="E40" s="5">
        <v>0.16319444444444445</v>
      </c>
      <c r="F40" s="4" t="s">
        <v>28</v>
      </c>
      <c r="G40" s="11"/>
      <c r="H40" s="4" t="s">
        <v>24</v>
      </c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3" t="s">
        <v>0</v>
      </c>
      <c r="B42" s="13" t="s">
        <v>1</v>
      </c>
      <c r="C42" s="13" t="s">
        <v>2</v>
      </c>
      <c r="D42" s="13" t="s">
        <v>3</v>
      </c>
      <c r="E42" s="13" t="s">
        <v>4</v>
      </c>
      <c r="F42" s="13" t="s">
        <v>5</v>
      </c>
      <c r="G42" s="13" t="s">
        <v>6</v>
      </c>
      <c r="H42" s="13" t="s">
        <v>7</v>
      </c>
    </row>
    <row r="43">
      <c r="A43" s="4" t="s">
        <v>108</v>
      </c>
      <c r="B43" s="4" t="s">
        <v>109</v>
      </c>
      <c r="C43" s="5">
        <v>0.20833333333333334</v>
      </c>
      <c r="D43" s="4" t="s">
        <v>110</v>
      </c>
      <c r="E43" s="5">
        <v>0.16666666666666666</v>
      </c>
      <c r="F43" s="4" t="s">
        <v>13</v>
      </c>
      <c r="G43" s="22" t="s">
        <v>111</v>
      </c>
      <c r="H43" s="4" t="s">
        <v>15</v>
      </c>
    </row>
    <row r="44">
      <c r="A44" s="4" t="s">
        <v>112</v>
      </c>
      <c r="B44" s="4" t="s">
        <v>113</v>
      </c>
      <c r="C44" s="5">
        <v>0.20833333333333334</v>
      </c>
      <c r="D44" s="4" t="s">
        <v>114</v>
      </c>
      <c r="E44" s="5">
        <v>0.17708333333333334</v>
      </c>
      <c r="F44" s="4" t="s">
        <v>13</v>
      </c>
      <c r="G44" s="22" t="s">
        <v>115</v>
      </c>
      <c r="H44" s="4" t="s">
        <v>24</v>
      </c>
    </row>
    <row r="45">
      <c r="A45" s="4" t="s">
        <v>116</v>
      </c>
      <c r="B45" s="4" t="s">
        <v>117</v>
      </c>
      <c r="C45" s="5">
        <v>0.20833333333333334</v>
      </c>
      <c r="D45" s="4" t="s">
        <v>118</v>
      </c>
      <c r="E45" s="5">
        <v>0.18055555555555555</v>
      </c>
      <c r="F45" s="4" t="s">
        <v>13</v>
      </c>
      <c r="G45" s="22" t="s">
        <v>119</v>
      </c>
      <c r="H45" s="4" t="s">
        <v>15</v>
      </c>
    </row>
    <row r="46">
      <c r="A46" s="16"/>
      <c r="B46" s="4" t="s">
        <v>120</v>
      </c>
      <c r="C46" s="5">
        <v>0.20833333333333334</v>
      </c>
      <c r="D46" s="4" t="s">
        <v>121</v>
      </c>
      <c r="E46" s="5">
        <v>0.1875</v>
      </c>
      <c r="F46" s="4" t="s">
        <v>13</v>
      </c>
      <c r="G46" s="11"/>
      <c r="H46" s="4" t="s">
        <v>15</v>
      </c>
    </row>
    <row r="47">
      <c r="A47" s="20"/>
      <c r="B47" s="20"/>
      <c r="C47" s="20"/>
      <c r="D47" s="20"/>
      <c r="E47" s="20"/>
      <c r="F47" s="20"/>
      <c r="G47" s="20"/>
      <c r="H47" s="20"/>
    </row>
    <row r="48">
      <c r="A48" s="13" t="s">
        <v>0</v>
      </c>
      <c r="B48" s="13" t="s">
        <v>1</v>
      </c>
      <c r="C48" s="13" t="s">
        <v>2</v>
      </c>
      <c r="D48" s="13" t="s">
        <v>3</v>
      </c>
      <c r="E48" s="13" t="s">
        <v>4</v>
      </c>
      <c r="F48" s="13" t="s">
        <v>5</v>
      </c>
      <c r="G48" s="13" t="s">
        <v>6</v>
      </c>
      <c r="H48" s="13" t="s">
        <v>7</v>
      </c>
    </row>
    <row r="49">
      <c r="A49" s="4" t="s">
        <v>122</v>
      </c>
      <c r="B49" s="4" t="s">
        <v>123</v>
      </c>
      <c r="C49" s="5">
        <v>0.3333333333333333</v>
      </c>
      <c r="D49" s="4" t="s">
        <v>124</v>
      </c>
      <c r="E49" s="5">
        <v>0.2916666666666667</v>
      </c>
      <c r="F49" s="4" t="s">
        <v>13</v>
      </c>
      <c r="G49" s="6" t="s">
        <v>125</v>
      </c>
      <c r="H49" s="4" t="s">
        <v>15</v>
      </c>
    </row>
    <row r="50">
      <c r="A50" s="4" t="s">
        <v>126</v>
      </c>
      <c r="B50" s="4" t="s">
        <v>127</v>
      </c>
      <c r="C50" s="5">
        <v>0.3333333333333333</v>
      </c>
      <c r="D50" s="4" t="s">
        <v>128</v>
      </c>
      <c r="E50" s="5">
        <v>0.3055555555555556</v>
      </c>
      <c r="F50" s="4" t="s">
        <v>13</v>
      </c>
      <c r="G50" s="6" t="s">
        <v>129</v>
      </c>
      <c r="H50" s="4" t="s">
        <v>15</v>
      </c>
    </row>
    <row r="51">
      <c r="A51" s="11"/>
      <c r="B51" s="11"/>
      <c r="C51" s="11"/>
      <c r="D51" s="11"/>
      <c r="E51" s="11"/>
      <c r="F51" s="11"/>
      <c r="G51" s="6" t="s">
        <v>130</v>
      </c>
      <c r="H51" s="11"/>
    </row>
    <row r="52">
      <c r="A52" s="13" t="s">
        <v>0</v>
      </c>
      <c r="B52" s="23"/>
      <c r="C52" s="13" t="s">
        <v>2</v>
      </c>
      <c r="D52" s="13" t="s">
        <v>3</v>
      </c>
      <c r="E52" s="13" t="s">
        <v>4</v>
      </c>
      <c r="F52" s="13" t="s">
        <v>5</v>
      </c>
      <c r="G52" s="13" t="s">
        <v>6</v>
      </c>
      <c r="H52" s="13" t="s">
        <v>7</v>
      </c>
    </row>
    <row r="53">
      <c r="A53" s="16"/>
      <c r="B53" s="4" t="s">
        <v>131</v>
      </c>
      <c r="C53" s="5">
        <v>0.3333333333333333</v>
      </c>
      <c r="D53" s="4" t="s">
        <v>132</v>
      </c>
      <c r="E53" s="5">
        <v>0.2777777777777778</v>
      </c>
      <c r="F53" s="4" t="s">
        <v>13</v>
      </c>
      <c r="G53" s="18" t="s">
        <v>48</v>
      </c>
      <c r="H53" s="4" t="s">
        <v>15</v>
      </c>
    </row>
    <row r="54">
      <c r="A54" s="16"/>
      <c r="B54" s="17" t="s">
        <v>133</v>
      </c>
      <c r="C54" s="5">
        <v>0.3333333333333333</v>
      </c>
      <c r="D54" s="17" t="s">
        <v>134</v>
      </c>
      <c r="E54" s="5">
        <v>0.2847222222222222</v>
      </c>
      <c r="F54" s="4" t="s">
        <v>13</v>
      </c>
      <c r="G54" s="18" t="s">
        <v>52</v>
      </c>
      <c r="H54" s="4" t="s">
        <v>24</v>
      </c>
    </row>
    <row r="55">
      <c r="A55" s="16"/>
      <c r="B55" s="4" t="s">
        <v>135</v>
      </c>
      <c r="C55" s="5">
        <v>0.3333333333333333</v>
      </c>
      <c r="D55" s="24" t="s">
        <v>136</v>
      </c>
      <c r="E55" s="5">
        <v>0.2916666666666667</v>
      </c>
      <c r="F55" s="4" t="s">
        <v>13</v>
      </c>
      <c r="G55" s="18" t="s">
        <v>56</v>
      </c>
      <c r="H55" s="4" t="s">
        <v>15</v>
      </c>
    </row>
    <row r="56">
      <c r="A56" s="16"/>
      <c r="B56" s="4" t="s">
        <v>137</v>
      </c>
      <c r="C56" s="5">
        <v>0.3333333333333333</v>
      </c>
      <c r="D56" s="4" t="s">
        <v>138</v>
      </c>
      <c r="E56" s="5">
        <v>0.2986111111111111</v>
      </c>
      <c r="F56" s="4" t="s">
        <v>13</v>
      </c>
      <c r="G56" s="11"/>
      <c r="H56" s="4" t="s">
        <v>15</v>
      </c>
    </row>
    <row r="57">
      <c r="A57" s="16"/>
      <c r="B57" s="4" t="s">
        <v>139</v>
      </c>
      <c r="C57" s="5">
        <v>0.3333333333333333</v>
      </c>
      <c r="D57" s="4" t="s">
        <v>140</v>
      </c>
      <c r="E57" s="5">
        <v>0.3055555555555556</v>
      </c>
      <c r="F57" s="4" t="s">
        <v>13</v>
      </c>
      <c r="G57" s="11"/>
      <c r="H57" s="4" t="s">
        <v>24</v>
      </c>
    </row>
    <row r="58">
      <c r="A58" s="20"/>
      <c r="B58" s="20"/>
      <c r="C58" s="20"/>
      <c r="D58" s="20"/>
      <c r="E58" s="20"/>
      <c r="F58" s="20"/>
      <c r="G58" s="20"/>
      <c r="H58" s="20"/>
    </row>
    <row r="59">
      <c r="A59" s="13" t="s">
        <v>0</v>
      </c>
      <c r="B59" s="13" t="s">
        <v>1</v>
      </c>
      <c r="C59" s="13" t="s">
        <v>2</v>
      </c>
      <c r="D59" s="13" t="s">
        <v>3</v>
      </c>
      <c r="E59" s="13" t="s">
        <v>4</v>
      </c>
      <c r="F59" s="13" t="s">
        <v>5</v>
      </c>
      <c r="G59" s="13" t="s">
        <v>6</v>
      </c>
      <c r="H59" s="13" t="s">
        <v>7</v>
      </c>
    </row>
    <row r="60">
      <c r="A60" s="16"/>
      <c r="B60" s="4" t="s">
        <v>141</v>
      </c>
      <c r="C60" s="5">
        <v>0.3333333333333333</v>
      </c>
      <c r="D60" s="4" t="s">
        <v>142</v>
      </c>
      <c r="E60" s="5">
        <v>0.2916666666666667</v>
      </c>
      <c r="F60" s="4" t="s">
        <v>13</v>
      </c>
      <c r="G60" s="18" t="s">
        <v>66</v>
      </c>
      <c r="H60" s="4" t="s">
        <v>24</v>
      </c>
    </row>
    <row r="61">
      <c r="A61" s="11"/>
      <c r="B61" s="25" t="s">
        <v>143</v>
      </c>
      <c r="C61" s="5">
        <v>0.3333333333333333</v>
      </c>
      <c r="D61" s="4" t="s">
        <v>144</v>
      </c>
      <c r="E61" s="5">
        <v>0.2986111111111111</v>
      </c>
      <c r="F61" s="4" t="s">
        <v>13</v>
      </c>
      <c r="G61" s="18" t="s">
        <v>69</v>
      </c>
      <c r="H61" s="4" t="s">
        <v>15</v>
      </c>
    </row>
    <row r="62">
      <c r="A62" s="11"/>
      <c r="B62" s="25" t="s">
        <v>145</v>
      </c>
      <c r="C62" s="5">
        <v>0.3333333333333333</v>
      </c>
      <c r="D62" s="4" t="s">
        <v>51</v>
      </c>
      <c r="E62" s="5">
        <v>0.3090277777777778</v>
      </c>
      <c r="F62" s="4" t="s">
        <v>13</v>
      </c>
      <c r="G62" s="18" t="s">
        <v>73</v>
      </c>
      <c r="H62" s="4" t="s">
        <v>15</v>
      </c>
    </row>
    <row r="63">
      <c r="A63" s="16"/>
      <c r="B63" s="4" t="s">
        <v>146</v>
      </c>
      <c r="C63" s="5">
        <v>0.3333333333333333</v>
      </c>
      <c r="D63" s="4" t="s">
        <v>147</v>
      </c>
      <c r="E63" s="5">
        <v>0.3159722222222222</v>
      </c>
      <c r="F63" s="4" t="s">
        <v>13</v>
      </c>
      <c r="G63" s="11"/>
      <c r="H63" s="4" t="s">
        <v>24</v>
      </c>
    </row>
    <row r="64">
      <c r="A64" s="11"/>
      <c r="B64" s="11"/>
      <c r="C64" s="11"/>
      <c r="D64" s="11"/>
      <c r="E64" s="11"/>
      <c r="F64" s="11"/>
      <c r="G64" s="11"/>
      <c r="H64" s="11"/>
    </row>
    <row r="65">
      <c r="A65" s="13" t="s">
        <v>0</v>
      </c>
      <c r="B65" s="13" t="s">
        <v>1</v>
      </c>
      <c r="C65" s="13" t="s">
        <v>2</v>
      </c>
      <c r="D65" s="13" t="s">
        <v>3</v>
      </c>
      <c r="E65" s="13" t="s">
        <v>4</v>
      </c>
      <c r="F65" s="13" t="s">
        <v>5</v>
      </c>
      <c r="G65" s="13" t="s">
        <v>6</v>
      </c>
      <c r="H65" s="13" t="s">
        <v>7</v>
      </c>
    </row>
    <row r="66">
      <c r="A66" s="19" t="s">
        <v>148</v>
      </c>
      <c r="B66" s="4" t="s">
        <v>149</v>
      </c>
      <c r="C66" s="5">
        <v>0.3333333333333333</v>
      </c>
      <c r="D66" s="4" t="s">
        <v>150</v>
      </c>
      <c r="E66" s="5">
        <v>0.2986111111111111</v>
      </c>
      <c r="F66" s="4" t="s">
        <v>13</v>
      </c>
      <c r="G66" s="6" t="s">
        <v>14</v>
      </c>
      <c r="H66" s="4" t="s">
        <v>15</v>
      </c>
    </row>
    <row r="67">
      <c r="A67" s="4" t="s">
        <v>151</v>
      </c>
      <c r="B67" s="4" t="s">
        <v>152</v>
      </c>
      <c r="C67" s="5">
        <v>0.3333333333333333</v>
      </c>
      <c r="D67" s="4" t="s">
        <v>153</v>
      </c>
      <c r="E67" s="5">
        <v>0.3055555555555556</v>
      </c>
      <c r="F67" s="4" t="s">
        <v>13</v>
      </c>
      <c r="G67" s="6" t="s">
        <v>23</v>
      </c>
      <c r="H67" s="4" t="s">
        <v>15</v>
      </c>
    </row>
    <row r="68">
      <c r="A68" s="11"/>
      <c r="B68" s="11"/>
      <c r="C68" s="26"/>
      <c r="D68" s="11"/>
      <c r="E68" s="26"/>
      <c r="F68" s="11"/>
      <c r="G68" s="11"/>
      <c r="H68" s="11"/>
    </row>
    <row r="69">
      <c r="A69" s="13" t="s">
        <v>0</v>
      </c>
      <c r="B69" s="13" t="s">
        <v>1</v>
      </c>
      <c r="C69" s="13" t="s">
        <v>2</v>
      </c>
      <c r="D69" s="13" t="s">
        <v>3</v>
      </c>
      <c r="E69" s="13" t="s">
        <v>4</v>
      </c>
      <c r="F69" s="13" t="s">
        <v>5</v>
      </c>
      <c r="G69" s="13" t="s">
        <v>6</v>
      </c>
      <c r="H69" s="13" t="s">
        <v>7</v>
      </c>
    </row>
    <row r="70">
      <c r="A70" s="16"/>
      <c r="B70" s="4" t="s">
        <v>154</v>
      </c>
      <c r="C70" s="5">
        <v>0.3333333333333333</v>
      </c>
      <c r="D70" s="17" t="s">
        <v>155</v>
      </c>
      <c r="E70" s="5">
        <v>0.2777777777777778</v>
      </c>
      <c r="F70" s="4" t="s">
        <v>13</v>
      </c>
      <c r="G70" s="6" t="s">
        <v>75</v>
      </c>
      <c r="H70" s="4" t="s">
        <v>15</v>
      </c>
    </row>
    <row r="71">
      <c r="A71" s="4" t="s">
        <v>156</v>
      </c>
      <c r="B71" s="4" t="s">
        <v>157</v>
      </c>
      <c r="C71" s="5">
        <v>0.3333333333333333</v>
      </c>
      <c r="D71" s="4" t="s">
        <v>158</v>
      </c>
      <c r="E71" s="5">
        <v>0.2847222222222222</v>
      </c>
      <c r="F71" s="4" t="s">
        <v>13</v>
      </c>
      <c r="G71" s="6" t="s">
        <v>79</v>
      </c>
      <c r="H71" s="4" t="s">
        <v>15</v>
      </c>
    </row>
    <row r="72">
      <c r="A72" s="16"/>
      <c r="B72" s="4" t="s">
        <v>159</v>
      </c>
      <c r="C72" s="5">
        <v>0.3333333333333333</v>
      </c>
      <c r="D72" s="4" t="s">
        <v>160</v>
      </c>
      <c r="E72" s="5">
        <v>0.2986111111111111</v>
      </c>
      <c r="F72" s="4" t="s">
        <v>28</v>
      </c>
      <c r="G72" s="6" t="s">
        <v>83</v>
      </c>
      <c r="H72" s="4" t="s">
        <v>15</v>
      </c>
    </row>
    <row r="73">
      <c r="A73" s="4" t="s">
        <v>161</v>
      </c>
      <c r="B73" s="4" t="s">
        <v>26</v>
      </c>
      <c r="C73" s="5">
        <v>0.3333333333333333</v>
      </c>
      <c r="D73" s="4" t="s">
        <v>162</v>
      </c>
      <c r="E73" s="5">
        <v>0.30694444444444446</v>
      </c>
      <c r="F73" s="4" t="s">
        <v>13</v>
      </c>
      <c r="G73" s="11"/>
      <c r="H73" s="4" t="s">
        <v>24</v>
      </c>
    </row>
    <row r="74">
      <c r="A74" s="4" t="s">
        <v>163</v>
      </c>
      <c r="B74" s="4" t="s">
        <v>164</v>
      </c>
      <c r="C74" s="5">
        <v>0.3333333333333333</v>
      </c>
      <c r="D74" s="4" t="s">
        <v>165</v>
      </c>
      <c r="E74" s="5">
        <v>0.3090277777777778</v>
      </c>
      <c r="F74" s="4" t="s">
        <v>13</v>
      </c>
      <c r="G74" s="27"/>
      <c r="H74" s="21" t="s">
        <v>24</v>
      </c>
    </row>
    <row r="75">
      <c r="A75" s="11"/>
      <c r="B75" s="11"/>
      <c r="C75" s="11"/>
      <c r="D75" s="11"/>
      <c r="E75" s="11"/>
      <c r="F75" s="11"/>
      <c r="G75" s="11"/>
      <c r="H75" s="11"/>
    </row>
    <row r="76">
      <c r="A76" s="13" t="s">
        <v>0</v>
      </c>
      <c r="B76" s="13" t="s">
        <v>1</v>
      </c>
      <c r="C76" s="13" t="s">
        <v>2</v>
      </c>
      <c r="D76" s="13" t="s">
        <v>3</v>
      </c>
      <c r="E76" s="13" t="s">
        <v>4</v>
      </c>
      <c r="F76" s="13" t="s">
        <v>5</v>
      </c>
      <c r="G76" s="13" t="s">
        <v>6</v>
      </c>
      <c r="H76" s="13" t="s">
        <v>7</v>
      </c>
    </row>
    <row r="77">
      <c r="A77" s="4" t="s">
        <v>166</v>
      </c>
      <c r="B77" s="4" t="s">
        <v>167</v>
      </c>
      <c r="C77" s="5">
        <v>0.4791666666666667</v>
      </c>
      <c r="D77" s="4" t="s">
        <v>168</v>
      </c>
      <c r="E77" s="5">
        <v>0.4375</v>
      </c>
      <c r="F77" s="11"/>
      <c r="G77" s="18" t="s">
        <v>48</v>
      </c>
      <c r="H77" s="4" t="s">
        <v>15</v>
      </c>
    </row>
    <row r="78">
      <c r="A78" s="16"/>
      <c r="B78" s="4" t="s">
        <v>169</v>
      </c>
      <c r="C78" s="5">
        <v>0.4791666666666667</v>
      </c>
      <c r="D78" s="4" t="s">
        <v>170</v>
      </c>
      <c r="E78" s="5">
        <v>0.4444444444444444</v>
      </c>
      <c r="F78" s="11"/>
      <c r="G78" s="18" t="s">
        <v>52</v>
      </c>
      <c r="H78" s="4" t="s">
        <v>15</v>
      </c>
    </row>
    <row r="79">
      <c r="A79" s="4" t="s">
        <v>171</v>
      </c>
      <c r="B79" s="4" t="s">
        <v>172</v>
      </c>
      <c r="C79" s="5">
        <v>0.4791666666666667</v>
      </c>
      <c r="D79" s="4" t="s">
        <v>173</v>
      </c>
      <c r="E79" s="5">
        <v>0.4513888888888889</v>
      </c>
      <c r="F79" s="11"/>
      <c r="G79" s="18" t="s">
        <v>56</v>
      </c>
      <c r="H79" s="4" t="s">
        <v>24</v>
      </c>
    </row>
    <row r="80">
      <c r="A80" s="16"/>
      <c r="B80" s="4" t="s">
        <v>174</v>
      </c>
      <c r="C80" s="5">
        <v>0.4791666666666667</v>
      </c>
      <c r="D80" s="4" t="s">
        <v>175</v>
      </c>
      <c r="E80" s="5">
        <v>0.4548611111111111</v>
      </c>
      <c r="F80" s="11"/>
      <c r="G80" s="11"/>
      <c r="H80" s="4" t="s">
        <v>15</v>
      </c>
    </row>
    <row r="81">
      <c r="A81" s="4" t="s">
        <v>176</v>
      </c>
      <c r="B81" s="4" t="s">
        <v>177</v>
      </c>
      <c r="C81" s="5">
        <v>0.4791666666666667</v>
      </c>
      <c r="D81" s="4" t="s">
        <v>178</v>
      </c>
      <c r="E81" s="5">
        <v>0.4583333333333333</v>
      </c>
      <c r="F81" s="11"/>
      <c r="G81" s="11"/>
      <c r="H81" s="4" t="s">
        <v>15</v>
      </c>
    </row>
    <row r="82">
      <c r="A82" s="11"/>
      <c r="B82" s="11"/>
      <c r="C82" s="11"/>
      <c r="D82" s="11"/>
      <c r="E82" s="11"/>
      <c r="F82" s="11"/>
      <c r="G82" s="11"/>
      <c r="H82" s="11"/>
    </row>
    <row r="83">
      <c r="A83" s="13" t="s">
        <v>0</v>
      </c>
      <c r="B83" s="13" t="s">
        <v>1</v>
      </c>
      <c r="C83" s="13" t="s">
        <v>2</v>
      </c>
      <c r="D83" s="13" t="s">
        <v>3</v>
      </c>
      <c r="E83" s="13" t="s">
        <v>4</v>
      </c>
      <c r="F83" s="13" t="s">
        <v>5</v>
      </c>
      <c r="G83" s="13" t="s">
        <v>6</v>
      </c>
      <c r="H83" s="13" t="s">
        <v>7</v>
      </c>
    </row>
    <row r="84">
      <c r="A84" s="4" t="s">
        <v>179</v>
      </c>
      <c r="B84" s="4" t="s">
        <v>180</v>
      </c>
      <c r="C84" s="5">
        <v>0.4791666666666667</v>
      </c>
      <c r="D84" s="4" t="s">
        <v>181</v>
      </c>
      <c r="E84" s="5">
        <v>0.4479166666666667</v>
      </c>
      <c r="F84" s="11"/>
      <c r="G84" s="18" t="s">
        <v>66</v>
      </c>
      <c r="H84" s="4" t="s">
        <v>15</v>
      </c>
    </row>
    <row r="85">
      <c r="A85" s="4" t="s">
        <v>182</v>
      </c>
      <c r="B85" s="4" t="s">
        <v>183</v>
      </c>
      <c r="C85" s="5">
        <v>0.4791666666666667</v>
      </c>
      <c r="D85" s="4" t="s">
        <v>18</v>
      </c>
      <c r="E85" s="5">
        <v>0.4583333333333333</v>
      </c>
      <c r="F85" s="11"/>
      <c r="G85" s="18" t="s">
        <v>69</v>
      </c>
      <c r="H85" s="4" t="s">
        <v>15</v>
      </c>
    </row>
    <row r="86">
      <c r="A86" s="11"/>
      <c r="B86" s="11"/>
      <c r="C86" s="11"/>
      <c r="D86" s="11"/>
      <c r="E86" s="11"/>
      <c r="F86" s="11"/>
      <c r="G86" s="18" t="s">
        <v>73</v>
      </c>
      <c r="H86" s="11"/>
    </row>
    <row r="87">
      <c r="A87" s="13" t="s">
        <v>0</v>
      </c>
      <c r="B87" s="13" t="s">
        <v>1</v>
      </c>
      <c r="C87" s="13" t="s">
        <v>2</v>
      </c>
      <c r="D87" s="13" t="s">
        <v>3</v>
      </c>
      <c r="E87" s="13" t="s">
        <v>4</v>
      </c>
      <c r="F87" s="13" t="s">
        <v>5</v>
      </c>
      <c r="G87" s="13" t="s">
        <v>6</v>
      </c>
      <c r="H87" s="13" t="s">
        <v>7</v>
      </c>
    </row>
    <row r="88">
      <c r="A88" s="4" t="s">
        <v>184</v>
      </c>
      <c r="B88" s="4" t="s">
        <v>185</v>
      </c>
      <c r="C88" s="5">
        <v>0.4791666666666667</v>
      </c>
      <c r="D88" s="4" t="s">
        <v>186</v>
      </c>
      <c r="E88" s="5">
        <v>0.4305555555555556</v>
      </c>
      <c r="F88" s="11"/>
      <c r="G88" s="6" t="s">
        <v>14</v>
      </c>
      <c r="H88" s="21" t="s">
        <v>15</v>
      </c>
    </row>
    <row r="89">
      <c r="A89" s="4" t="s">
        <v>187</v>
      </c>
      <c r="B89" s="4" t="s">
        <v>188</v>
      </c>
      <c r="C89" s="5">
        <v>0.4791666666666667</v>
      </c>
      <c r="D89" s="4" t="s">
        <v>189</v>
      </c>
      <c r="E89" s="5">
        <v>0.4479166666666667</v>
      </c>
      <c r="F89" s="11"/>
      <c r="G89" s="6" t="s">
        <v>19</v>
      </c>
      <c r="H89" s="4" t="s">
        <v>15</v>
      </c>
    </row>
    <row r="90">
      <c r="A90" s="15" t="s">
        <v>190</v>
      </c>
      <c r="B90" s="4" t="s">
        <v>191</v>
      </c>
      <c r="C90" s="5">
        <v>0.4791666666666667</v>
      </c>
      <c r="D90" s="4" t="s">
        <v>40</v>
      </c>
      <c r="E90" s="5">
        <v>0.4548611111111111</v>
      </c>
      <c r="F90" s="11"/>
      <c r="G90" s="6" t="s">
        <v>23</v>
      </c>
      <c r="H90" s="21" t="s">
        <v>15</v>
      </c>
    </row>
    <row r="91">
      <c r="A91" s="4" t="s">
        <v>192</v>
      </c>
      <c r="B91" s="4" t="s">
        <v>193</v>
      </c>
      <c r="C91" s="5">
        <v>0.4791666666666667</v>
      </c>
      <c r="D91" s="4" t="s">
        <v>194</v>
      </c>
      <c r="E91" s="5">
        <v>0.4583333333333333</v>
      </c>
      <c r="F91" s="11"/>
      <c r="G91" s="27"/>
      <c r="H91" s="21" t="s">
        <v>15</v>
      </c>
    </row>
    <row r="92">
      <c r="A92" s="4" t="s">
        <v>195</v>
      </c>
      <c r="B92" s="4" t="s">
        <v>196</v>
      </c>
      <c r="C92" s="5">
        <v>0.4791666666666667</v>
      </c>
      <c r="D92" s="4" t="s">
        <v>197</v>
      </c>
      <c r="E92" s="5">
        <v>0.4618055555555556</v>
      </c>
      <c r="F92" s="11"/>
      <c r="G92" s="11"/>
      <c r="H92" s="4" t="s">
        <v>15</v>
      </c>
    </row>
    <row r="93">
      <c r="A93" s="11"/>
      <c r="B93" s="11"/>
      <c r="C93" s="26"/>
      <c r="D93" s="11"/>
      <c r="E93" s="26"/>
      <c r="F93" s="11"/>
      <c r="G93" s="11"/>
      <c r="H93" s="11"/>
    </row>
    <row r="94">
      <c r="A94" s="13" t="s">
        <v>0</v>
      </c>
      <c r="B94" s="13" t="s">
        <v>1</v>
      </c>
      <c r="C94" s="13" t="s">
        <v>2</v>
      </c>
      <c r="D94" s="13" t="s">
        <v>3</v>
      </c>
      <c r="E94" s="13" t="s">
        <v>4</v>
      </c>
      <c r="F94" s="13" t="s">
        <v>5</v>
      </c>
      <c r="G94" s="13" t="s">
        <v>6</v>
      </c>
      <c r="H94" s="13" t="s">
        <v>7</v>
      </c>
    </row>
    <row r="95">
      <c r="A95" s="16"/>
      <c r="B95" s="4" t="s">
        <v>198</v>
      </c>
      <c r="C95" s="5">
        <v>0.4583333333333333</v>
      </c>
      <c r="D95" s="4" t="s">
        <v>198</v>
      </c>
      <c r="E95" s="5">
        <v>0.4340277777777778</v>
      </c>
      <c r="F95" s="11"/>
      <c r="G95" s="6" t="s">
        <v>125</v>
      </c>
      <c r="H95" s="21" t="s">
        <v>15</v>
      </c>
    </row>
    <row r="96">
      <c r="A96" s="19" t="s">
        <v>199</v>
      </c>
      <c r="B96" s="4" t="s">
        <v>58</v>
      </c>
      <c r="C96" s="5">
        <v>0.4583333333333333</v>
      </c>
      <c r="D96" s="4" t="s">
        <v>59</v>
      </c>
      <c r="E96" s="5">
        <v>0.4409722222222222</v>
      </c>
      <c r="F96" s="11"/>
      <c r="G96" s="6" t="s">
        <v>129</v>
      </c>
      <c r="H96" s="21" t="s">
        <v>15</v>
      </c>
    </row>
    <row r="97">
      <c r="A97" s="20"/>
      <c r="B97" s="20"/>
      <c r="C97" s="20"/>
      <c r="D97" s="20"/>
      <c r="E97" s="20"/>
      <c r="F97" s="20"/>
      <c r="G97" s="28"/>
      <c r="H97" s="20"/>
    </row>
    <row r="98">
      <c r="A98" s="13" t="s">
        <v>0</v>
      </c>
      <c r="B98" s="13" t="s">
        <v>1</v>
      </c>
      <c r="C98" s="13" t="s">
        <v>2</v>
      </c>
      <c r="D98" s="13" t="s">
        <v>3</v>
      </c>
      <c r="E98" s="13" t="s">
        <v>4</v>
      </c>
      <c r="F98" s="13" t="s">
        <v>5</v>
      </c>
      <c r="G98" s="13" t="s">
        <v>6</v>
      </c>
      <c r="H98" s="13" t="s">
        <v>7</v>
      </c>
    </row>
    <row r="99">
      <c r="A99" s="16"/>
      <c r="B99" s="4" t="s">
        <v>200</v>
      </c>
      <c r="C99" s="5">
        <v>0.4166666666666667</v>
      </c>
      <c r="D99" s="4" t="s">
        <v>200</v>
      </c>
      <c r="E99" s="5">
        <v>0.3888888888888889</v>
      </c>
      <c r="F99" s="11"/>
      <c r="G99" s="6" t="s">
        <v>75</v>
      </c>
      <c r="H99" s="4" t="s">
        <v>15</v>
      </c>
    </row>
    <row r="100">
      <c r="A100" s="16"/>
      <c r="B100" s="4" t="s">
        <v>200</v>
      </c>
      <c r="C100" s="5">
        <v>0.4166666666666667</v>
      </c>
      <c r="D100" s="4" t="s">
        <v>200</v>
      </c>
      <c r="E100" s="5">
        <v>0.3888888888888889</v>
      </c>
      <c r="F100" s="11"/>
      <c r="G100" s="6" t="s">
        <v>79</v>
      </c>
      <c r="H100" s="4" t="s">
        <v>15</v>
      </c>
    </row>
    <row r="101">
      <c r="A101" s="16"/>
      <c r="B101" s="4" t="s">
        <v>200</v>
      </c>
      <c r="C101" s="5">
        <v>0.4166666666666667</v>
      </c>
      <c r="D101" s="4" t="s">
        <v>200</v>
      </c>
      <c r="E101" s="5">
        <v>0.3888888888888889</v>
      </c>
      <c r="F101" s="11"/>
      <c r="G101" s="6" t="s">
        <v>83</v>
      </c>
      <c r="H101" s="4" t="s">
        <v>24</v>
      </c>
    </row>
    <row r="102">
      <c r="A102" s="16"/>
      <c r="B102" s="4" t="s">
        <v>200</v>
      </c>
      <c r="C102" s="5">
        <v>0.4166666666666667</v>
      </c>
      <c r="D102" s="4" t="s">
        <v>200</v>
      </c>
      <c r="E102" s="5">
        <v>0.3888888888888889</v>
      </c>
      <c r="F102" s="11"/>
      <c r="G102" s="11"/>
      <c r="H102" s="4" t="s">
        <v>15</v>
      </c>
    </row>
    <row r="103">
      <c r="A103" s="11"/>
      <c r="B103" s="4" t="s">
        <v>200</v>
      </c>
      <c r="C103" s="5">
        <v>0.4166666666666667</v>
      </c>
      <c r="D103" s="4" t="s">
        <v>200</v>
      </c>
      <c r="E103" s="5">
        <v>0.3888888888888889</v>
      </c>
      <c r="F103" s="11"/>
      <c r="G103" s="11"/>
      <c r="H103" s="4" t="s">
        <v>24</v>
      </c>
    </row>
  </sheetData>
  <drawing r:id="rId1"/>
  <tableParts count="1">
    <tablePart r:id="rId3"/>
  </tableParts>
</worksheet>
</file>